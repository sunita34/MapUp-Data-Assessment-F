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chi\MapUp-Data-Assessment-F\"/>
    </mc:Choice>
  </mc:AlternateContent>
  <xr:revisionPtr revIDLastSave="0" documentId="13_ncr:1_{CEE7693A-B7C6-4C18-80F9-30664963DD55}" xr6:coauthVersionLast="47" xr6:coauthVersionMax="47" xr10:uidLastSave="{00000000-0000-0000-0000-000000000000}"/>
  <bookViews>
    <workbookView xWindow="-108" yWindow="-108" windowWidth="23256" windowHeight="12456" tabRatio="849" activeTab="7" xr2:uid="{00000000-000D-0000-FFFF-FFFF00000000}"/>
  </bookViews>
  <sheets>
    <sheet name="Instructions" sheetId="22" r:id="rId1"/>
    <sheet name="sample data" sheetId="24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Dataset" sheetId="1" r:id="rId8"/>
  </sheets>
  <functionGroups builtInGroupCount="19"/>
  <definedNames>
    <definedName name="_xlnm._FilterDatabase" localSheetId="7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  <fileRecoveryPr repairLoad="1"/>
</workbook>
</file>

<file path=xl/calcChain.xml><?xml version="1.0" encoding="utf-8"?>
<calcChain xmlns="http://schemas.openxmlformats.org/spreadsheetml/2006/main">
  <c r="C24" i="20" l="1" a="1"/>
  <c r="C24" i="20" s="1"/>
  <c r="C25" i="20" a="1"/>
  <c r="C25" i="20"/>
  <c r="C26" i="20" a="1"/>
  <c r="C26" i="20"/>
  <c r="C27" i="20" a="1"/>
  <c r="C27" i="20"/>
  <c r="C28" i="20" a="1"/>
  <c r="C28" i="20" s="1"/>
  <c r="C29" i="20" a="1"/>
  <c r="C29" i="20"/>
  <c r="C30" i="20" a="1"/>
  <c r="C30" i="20"/>
  <c r="C31" i="20" a="1"/>
  <c r="C31" i="20"/>
  <c r="C32" i="20" a="1"/>
  <c r="C32" i="20" s="1"/>
  <c r="C33" i="20" a="1"/>
  <c r="C33" i="20"/>
  <c r="C34" i="20" a="1"/>
  <c r="C34" i="20"/>
  <c r="C35" i="20" a="1"/>
  <c r="C35" i="20"/>
  <c r="C23" i="20" a="1"/>
  <c r="C23" i="20" s="1"/>
  <c r="D12" i="19"/>
  <c r="C22" i="19"/>
  <c r="D21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  <c r="C5" i="15"/>
  <c r="E30" i="18" l="1"/>
  <c r="F30" i="18"/>
  <c r="E29" i="18"/>
  <c r="D30" i="18"/>
  <c r="B30" i="18"/>
  <c r="B28" i="18"/>
  <c r="C28" i="18"/>
  <c r="E28" i="18"/>
  <c r="B29" i="18"/>
  <c r="C29" i="18"/>
  <c r="F28" i="18"/>
  <c r="C30" i="18"/>
  <c r="F29" i="18"/>
  <c r="D28" i="18"/>
  <c r="D29" i="18"/>
  <c r="D14" i="19"/>
  <c r="D13" i="19"/>
  <c r="D15" i="19" l="1"/>
  <c r="D16" i="19" l="1"/>
  <c r="D17" i="19" l="1"/>
  <c r="D18" i="19" l="1"/>
  <c r="D20" i="19" l="1"/>
  <c r="D19" i="19"/>
</calcChain>
</file>

<file path=xl/sharedStrings.xml><?xml version="1.0" encoding="utf-8"?>
<sst xmlns="http://schemas.openxmlformats.org/spreadsheetml/2006/main" count="548" uniqueCount="184">
  <si>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</si>
  <si>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</si>
  <si>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</si>
  <si>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</si>
  <si>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</si>
  <si>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</si>
  <si>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</si>
  <si>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</si>
  <si>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</si>
  <si>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</si>
  <si>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</si>
  <si>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</si>
  <si>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</si>
  <si>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</si>
  <si>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</si>
  <si>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</si>
  <si>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</si>
  <si>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</si>
  <si>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</si>
  <si>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</si>
  <si>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</si>
  <si>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</si>
  <si>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</si>
  <si>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</si>
  <si>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</si>
  <si>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</si>
  <si>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</si>
  <si>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</si>
  <si>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</si>
  <si>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</si>
  <si>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</si>
  <si>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</si>
  <si>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</si>
  <si>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</si>
  <si>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</si>
  <si>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</si>
  <si>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</si>
  <si>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</si>
  <si>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</si>
  <si>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</si>
  <si>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</si>
  <si>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</si>
  <si>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</si>
  <si>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</si>
  <si>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</si>
  <si>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</si>
  <si>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</si>
  <si>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</si>
  <si>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</si>
  <si>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</si>
  <si>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</si>
  <si>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</si>
  <si>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</si>
  <si>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</si>
  <si>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</si>
  <si>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</si>
  <si>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</si>
  <si>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</si>
  <si>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</si>
  <si>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</si>
  <si>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</si>
  <si>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</si>
  <si>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</si>
  <si>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</si>
  <si>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</si>
  <si>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</si>
  <si>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</si>
  <si>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</si>
  <si>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</si>
  <si>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</si>
  <si>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</si>
  <si>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</si>
  <si>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</si>
  <si>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</si>
  <si>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</si>
  <si>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</si>
  <si>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</si>
  <si>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</si>
  <si>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</si>
  <si>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</si>
  <si>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</si>
  <si>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</si>
  <si>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</si>
  <si>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</si>
  <si>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</si>
  <si>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</si>
  <si>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</si>
  <si>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</si>
  <si>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</si>
  <si>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</si>
  <si>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</si>
  <si>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</si>
  <si>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</si>
  <si>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</si>
  <si>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</si>
  <si>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</si>
  <si>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</si>
  <si>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</si>
  <si>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</si>
  <si>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</si>
  <si>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</si>
  <si>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</si>
  <si>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</si>
  <si>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</si>
  <si>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</si>
  <si>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</si>
  <si>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</si>
  <si>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</si>
  <si>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</si>
  <si>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</si>
  <si>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</si>
  <si>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</si>
  <si>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</si>
  <si>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</si>
  <si>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</si>
  <si>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</si>
  <si>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</si>
  <si>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</si>
  <si>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</si>
  <si>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</si>
  <si>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</si>
  <si>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</si>
  <si>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</si>
  <si>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</si>
  <si>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</si>
  <si>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</si>
  <si>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</si>
  <si>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</si>
  <si>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</si>
  <si>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</si>
  <si>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</si>
  <si>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</si>
  <si>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</si>
  <si>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</si>
  <si>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</si>
  <si>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</si>
  <si>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</si>
  <si>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</si>
  <si>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</si>
  <si>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</si>
  <si>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</si>
  <si>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</si>
  <si>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</si>
  <si>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</si>
  <si>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</si>
  <si>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</si>
  <si>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</si>
  <si>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</si>
  <si>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</si>
  <si>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</si>
  <si>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</si>
  <si>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</si>
  <si>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</si>
  <si>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</si>
  <si>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</si>
  <si>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</si>
  <si>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</si>
  <si>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</si>
  <si>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</si>
  <si>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</si>
  <si>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</si>
  <si>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</si>
  <si>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</si>
  <si>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</si>
  <si>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</si>
  <si>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</si>
  <si>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</si>
  <si>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</si>
  <si>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</si>
  <si>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</si>
  <si>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</si>
  <si>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</si>
  <si>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</si>
  <si>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</si>
  <si>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</si>
  <si>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</si>
  <si>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</si>
  <si>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</t>
  </si>
  <si>
    <t>data&gt;text to columns&gt;delimited&gt;other type -  &gt;next&gt;choose destinations col&gt;finish</t>
  </si>
  <si>
    <t>Find &amp; Replace functionality used</t>
  </si>
  <si>
    <t xml:space="preserve"> </t>
  </si>
  <si>
    <t>Used Text to Columns Functionality from Data tab</t>
  </si>
  <si>
    <t>INDEX(A9:J18, MATCH(A23:A35, B10:B18, 0), MATCH(B23:B35, B9:J9, 0))</t>
  </si>
  <si>
    <t>Used index and match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</si>
</sst>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3" fillId="0" borderId="0" xfId="0" applyNumberFormat="1" applyFont="1"/>
    <xf numFmtId="164" fontId="3" fillId="0" borderId="0" xfId="0" applyNumberFormat="1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0" sqref="B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FA332-16B1-4E6C-BF21-47769C878598}">
  <dimension ref="A1:X40"/>
  <sheetViews>
    <sheetView workbookViewId="0">
      <selection activeCell="C19" sqref="C1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177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>
        <f>SUMIF(H:H,"&gt;20")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16" sqref="I1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VLOOKUP(A6,Dataset!$A$1:$G$40,7,FALSE)</f>
        <v>2.7</v>
      </c>
      <c r="C6" s="12">
        <f>VLOOKUP(A6,Dataset!$A$1:$N$40,14,FALSE)</f>
        <v>7.6</v>
      </c>
      <c r="D6" s="12">
        <f>VLOOKUP(A6,Dataset!$A$1:$R$40,18,FALSE)</f>
        <v>4.2</v>
      </c>
      <c r="E6" s="12">
        <f>VLOOKUP(A6,Dataset!$A$1:$T$40,20,FALSE)</f>
        <v>8.9</v>
      </c>
      <c r="F6" s="8">
        <f>VLOOKUP(A6,Dataset!$A$1:$V$40,22,FALSE)</f>
        <v>4.2</v>
      </c>
    </row>
    <row r="7" spans="1:7" ht="14.4" x14ac:dyDescent="0.3">
      <c r="A7" s="7" t="s">
        <v>4</v>
      </c>
      <c r="B7" s="12">
        <f>VLOOKUP(A7,Dataset!$A$1:$G$40,7,FALSE)</f>
        <v>2.7</v>
      </c>
      <c r="C7" s="12">
        <f>VLOOKUP(A7,Dataset!$A$1:$N$40,14,FALSE)</f>
        <v>7.6</v>
      </c>
      <c r="D7" s="12">
        <f>VLOOKUP(A7,Dataset!$A$1:$R$40,18,FALSE)</f>
        <v>4.2</v>
      </c>
      <c r="E7" s="12">
        <f>VLOOKUP(A7,Dataset!$A$1:$T$40,20,FALSE)</f>
        <v>8.9</v>
      </c>
      <c r="F7" s="8">
        <f>VLOOKUP(A7,Dataset!$A$1:$V$40,22,FALSE)</f>
        <v>4.2</v>
      </c>
    </row>
    <row r="8" spans="1:7" ht="14.4" x14ac:dyDescent="0.3">
      <c r="A8" s="7" t="s">
        <v>7</v>
      </c>
      <c r="B8" s="12">
        <f>VLOOKUP(A8,Dataset!$A$1:$G$40,7,FALSE)</f>
        <v>3.6</v>
      </c>
      <c r="C8" s="12">
        <f>VLOOKUP(A8,Dataset!$A$1:$N$40,14,FALSE)</f>
        <v>11.1</v>
      </c>
      <c r="D8" s="12">
        <f>VLOOKUP(A8,Dataset!$A$1:$R$40,18,FALSE)</f>
        <v>5.8</v>
      </c>
      <c r="E8" s="12">
        <f>VLOOKUP(A8,Dataset!$A$1:$T$40,20,FALSE)</f>
        <v>12.2</v>
      </c>
      <c r="F8" s="8">
        <f>VLOOKUP(A8,Dataset!$A$1:$V$40,22,FALSE)</f>
        <v>5.8</v>
      </c>
    </row>
    <row r="9" spans="1:7" ht="14.4" x14ac:dyDescent="0.3">
      <c r="A9" s="7" t="s">
        <v>8</v>
      </c>
      <c r="B9" s="12">
        <f>VLOOKUP(A9,Dataset!$A$1:$G$40,7,FALSE)</f>
        <v>4.9000000000000004</v>
      </c>
      <c r="C9" s="12">
        <f>VLOOKUP(A9,Dataset!$A$1:$N$40,14,FALSE)</f>
        <v>13.3</v>
      </c>
      <c r="D9" s="12">
        <f>VLOOKUP(A9,Dataset!$A$1:$R$40,18,FALSE)</f>
        <v>8.1</v>
      </c>
      <c r="E9" s="12">
        <f>VLOOKUP(A9,Dataset!$A$1:$T$40,20,FALSE)</f>
        <v>17</v>
      </c>
      <c r="F9" s="8">
        <f>VLOOKUP(A9,Dataset!$A$1:$V$40,22,FALSE)</f>
        <v>8.1</v>
      </c>
    </row>
    <row r="10" spans="1:7" ht="14.4" x14ac:dyDescent="0.3">
      <c r="A10" s="7" t="s">
        <v>11</v>
      </c>
      <c r="B10" s="12">
        <f>VLOOKUP(A10,Dataset!$A$1:$G$40,7,FALSE)</f>
        <v>9.4</v>
      </c>
      <c r="C10" s="12">
        <f>VLOOKUP(A10,Dataset!$A$1:$N$40,14,FALSE)</f>
        <v>28.3</v>
      </c>
      <c r="D10" s="12">
        <f>VLOOKUP(A10,Dataset!$A$1:$R$40,18,FALSE)</f>
        <v>16.100000000000001</v>
      </c>
      <c r="E10" s="12">
        <f>VLOOKUP(A10,Dataset!$A$1:$T$40,20,FALSE)</f>
        <v>32.799999999999997</v>
      </c>
      <c r="F10" s="8">
        <f>VLOOKUP(A10,Dataset!$A$1:$V$40,22,FALSE)</f>
        <v>16.100000000000001</v>
      </c>
    </row>
    <row r="11" spans="1:7" ht="14.4" x14ac:dyDescent="0.3">
      <c r="A11" s="7" t="s">
        <v>12</v>
      </c>
      <c r="B11" s="12">
        <f>VLOOKUP(A11,Dataset!$A$1:$G$40,7,FALSE)</f>
        <v>11.6</v>
      </c>
      <c r="C11" s="12">
        <f>VLOOKUP(A11,Dataset!$A$1:$N$40,14,FALSE)</f>
        <v>35.200000000000003</v>
      </c>
      <c r="D11" s="12">
        <f>VLOOKUP(A11,Dataset!$A$1:$R$40,18,FALSE)</f>
        <v>21.3</v>
      </c>
      <c r="E11" s="12">
        <f>VLOOKUP(A11,Dataset!$A$1:$T$40,20,FALSE)</f>
        <v>43</v>
      </c>
      <c r="F11" s="8">
        <f>VLOOKUP(A11,Dataset!$A$1:$V$40,22,FALSE)</f>
        <v>21.3</v>
      </c>
    </row>
    <row r="12" spans="1:7" ht="14.4" x14ac:dyDescent="0.3">
      <c r="A12" s="7" t="s">
        <v>14</v>
      </c>
      <c r="B12" s="12">
        <f>VLOOKUP(A12,Dataset!$A$1:$G$40,7,FALSE)</f>
        <v>18.399999999999999</v>
      </c>
      <c r="C12" s="12">
        <f>VLOOKUP(A12,Dataset!$A$1:$N$40,14,FALSE)</f>
        <v>55.6</v>
      </c>
      <c r="D12" s="12">
        <f>VLOOKUP(A12,Dataset!$A$1:$R$40,18,FALSE)</f>
        <v>33.799999999999997</v>
      </c>
      <c r="E12" s="12">
        <f>VLOOKUP(A12,Dataset!$A$1:$T$40,20,FALSE)</f>
        <v>67.900000000000006</v>
      </c>
      <c r="F12" s="8">
        <f>VLOOKUP(A12,Dataset!$A$1:$V$40,22,FALSE)</f>
        <v>33.799999999999997</v>
      </c>
    </row>
    <row r="13" spans="1:7" ht="14.4" x14ac:dyDescent="0.3">
      <c r="A13" s="7" t="s">
        <v>15</v>
      </c>
      <c r="B13" s="12">
        <f>VLOOKUP(A13,Dataset!$A$1:$G$40,7,FALSE)</f>
        <v>0</v>
      </c>
      <c r="C13" s="12">
        <f>VLOOKUP(A13,Dataset!$A$1:$N$40,14,FALSE)</f>
        <v>0</v>
      </c>
      <c r="D13" s="12">
        <f>VLOOKUP(A13,Dataset!$A$1:$R$40,18,FALSE)</f>
        <v>0</v>
      </c>
      <c r="E13" s="12">
        <f>VLOOKUP(A13,Dataset!$A$1:$T$40,20,FALSE)</f>
        <v>0</v>
      </c>
      <c r="F13" s="8">
        <f>VLOOKUP(A13,Dataset!$A$1:$V$40,22,FALSE)</f>
        <v>0</v>
      </c>
    </row>
    <row r="14" spans="1:7" ht="14.4" x14ac:dyDescent="0.3">
      <c r="A14" s="7" t="s">
        <v>16</v>
      </c>
      <c r="B14" s="12">
        <f>VLOOKUP(A14,Dataset!$A$1:$G$40,7,FALSE)</f>
        <v>21.9</v>
      </c>
      <c r="C14" s="12">
        <f>VLOOKUP(A14,Dataset!$A$1:$N$40,14,FALSE)</f>
        <v>61.5</v>
      </c>
      <c r="D14" s="12">
        <f>VLOOKUP(A14,Dataset!$A$1:$R$40,18,FALSE)</f>
        <v>40.1</v>
      </c>
      <c r="E14" s="12">
        <f>VLOOKUP(A14,Dataset!$A$1:$T$40,20,FALSE)</f>
        <v>76.599999999999994</v>
      </c>
      <c r="F14" s="8">
        <f>VLOOKUP(A14,Dataset!$A$1:$V$40,22,FALSE)</f>
        <v>40.1</v>
      </c>
    </row>
    <row r="15" spans="1:7" ht="14.4" x14ac:dyDescent="0.3">
      <c r="A15" s="7" t="s">
        <v>18</v>
      </c>
      <c r="B15" s="12">
        <f>VLOOKUP(A15,Dataset!$A$1:$G$40,7,FALSE)</f>
        <v>26.8</v>
      </c>
      <c r="C15" s="12">
        <f>VLOOKUP(A15,Dataset!$A$1:$N$40,14,FALSE)</f>
        <v>79.599999999999994</v>
      </c>
      <c r="D15" s="12">
        <f>VLOOKUP(A15,Dataset!$A$1:$R$40,18,FALSE)</f>
        <v>47.9</v>
      </c>
      <c r="E15" s="12">
        <f>VLOOKUP(A15,Dataset!$A$1:$T$40,20,FALSE)</f>
        <v>96.8</v>
      </c>
      <c r="F15" s="8">
        <f>VLOOKUP(A15,Dataset!$A$1:$V$40,22,FALSE)</f>
        <v>47.9</v>
      </c>
    </row>
    <row r="16" spans="1:7" ht="14.4" x14ac:dyDescent="0.3">
      <c r="A16" s="7" t="s">
        <v>20</v>
      </c>
      <c r="B16" s="12">
        <f>VLOOKUP(A16,Dataset!$A$1:$G$40,7,FALSE)</f>
        <v>28.5</v>
      </c>
      <c r="C16" s="12">
        <f>VLOOKUP(A16,Dataset!$A$1:$N$40,14,FALSE)</f>
        <v>85.4</v>
      </c>
      <c r="D16" s="12">
        <f>VLOOKUP(A16,Dataset!$A$1:$R$40,18,FALSE)</f>
        <v>52.3</v>
      </c>
      <c r="E16" s="12">
        <f>VLOOKUP(A16,Dataset!$A$1:$T$40,20,FALSE)</f>
        <v>106.1</v>
      </c>
      <c r="F16" s="8">
        <f>VLOOKUP(A16,Dataset!$A$1:$V$40,22,FALSE)</f>
        <v>52.3</v>
      </c>
    </row>
    <row r="17" spans="1:6" ht="14.4" x14ac:dyDescent="0.3">
      <c r="A17" s="7" t="s">
        <v>22</v>
      </c>
      <c r="B17" s="12">
        <f>VLOOKUP(A17,Dataset!$A$1:$G$40,7,FALSE)</f>
        <v>30.7</v>
      </c>
      <c r="C17" s="12">
        <f>VLOOKUP(A17,Dataset!$A$1:$N$40,14,FALSE)</f>
        <v>92.1</v>
      </c>
      <c r="D17" s="12">
        <f>VLOOKUP(A17,Dataset!$A$1:$R$40,18,FALSE)</f>
        <v>57</v>
      </c>
      <c r="E17" s="12">
        <f>VLOOKUP(A17,Dataset!$A$1:$T$40,20,FALSE)</f>
        <v>115.1</v>
      </c>
      <c r="F17" s="8">
        <f>VLOOKUP(A17,Dataset!$A$1:$V$40,22,FALSE)</f>
        <v>57</v>
      </c>
    </row>
    <row r="18" spans="1:6" ht="14.4" x14ac:dyDescent="0.3">
      <c r="A18" s="7" t="s">
        <v>23</v>
      </c>
      <c r="B18" s="12">
        <f>VLOOKUP(A18,Dataset!$A$1:$G$40,7,FALSE)</f>
        <v>33.799999999999997</v>
      </c>
      <c r="C18" s="12">
        <f>VLOOKUP(A18,Dataset!$A$1:$N$40,14,FALSE)</f>
        <v>101.3</v>
      </c>
      <c r="D18" s="12">
        <f>VLOOKUP(A18,Dataset!$A$1:$R$40,18,FALSE)</f>
        <v>61.4</v>
      </c>
      <c r="E18" s="12">
        <f>VLOOKUP(A18,Dataset!$A$1:$T$40,20,FALSE)</f>
        <v>124.4</v>
      </c>
      <c r="F18" s="8">
        <f>VLOOKUP(A18,Dataset!$A$1:$V$40,22,FALSE)</f>
        <v>61.4</v>
      </c>
    </row>
    <row r="19" spans="1:6" ht="14.4" x14ac:dyDescent="0.3">
      <c r="A19" s="7" t="s">
        <v>24</v>
      </c>
      <c r="B19" s="12">
        <f>VLOOKUP(A19,Dataset!$A$1:$G$40,7,FALSE)</f>
        <v>34.700000000000003</v>
      </c>
      <c r="C19" s="12">
        <f>VLOOKUP(A19,Dataset!$A$1:$N$40,14,FALSE)</f>
        <v>106.1</v>
      </c>
      <c r="D19" s="12">
        <f>VLOOKUP(A19,Dataset!$A$1:$R$40,18,FALSE)</f>
        <v>63.6</v>
      </c>
      <c r="E19" s="12">
        <f>VLOOKUP(A19,Dataset!$A$1:$T$40,20,FALSE)</f>
        <v>128.6</v>
      </c>
      <c r="F19" s="8">
        <f>VLOOKUP(A19,Dataset!$A$1:$V$40,22,FALSE)</f>
        <v>63.6</v>
      </c>
    </row>
    <row r="20" spans="1:6" ht="14.4" x14ac:dyDescent="0.3">
      <c r="A20" s="7" t="s">
        <v>28</v>
      </c>
      <c r="B20" s="12">
        <f>VLOOKUP(A20,Dataset!$A$1:$G$40,7,FALSE)</f>
        <v>0</v>
      </c>
      <c r="C20" s="12">
        <f>VLOOKUP(A20,Dataset!$A$1:$N$40,14,FALSE)</f>
        <v>0</v>
      </c>
      <c r="D20" s="12">
        <f>VLOOKUP(A20,Dataset!$A$1:$R$40,18,FALSE)</f>
        <v>0</v>
      </c>
      <c r="E20" s="12">
        <f>VLOOKUP(A20,Dataset!$A$1:$T$40,20,FALSE)</f>
        <v>0</v>
      </c>
      <c r="F20" s="8">
        <f>VLOOKUP(A20,Dataset!$A$1:$V$40,22,FALSE)</f>
        <v>0</v>
      </c>
    </row>
    <row r="21" spans="1:6" ht="14.4" x14ac:dyDescent="0.3">
      <c r="A21" s="7" t="s">
        <v>57</v>
      </c>
      <c r="B21" s="12">
        <f>VLOOKUP(A21,Dataset!$A$1:$G$40,7,FALSE)</f>
        <v>41.3</v>
      </c>
      <c r="C21" s="12">
        <f>VLOOKUP(A21,Dataset!$A$1:$N$40,14,FALSE)</f>
        <v>124.4</v>
      </c>
      <c r="D21" s="12">
        <f>VLOOKUP(A21,Dataset!$A$1:$R$40,18,FALSE)</f>
        <v>75</v>
      </c>
      <c r="E21" s="12">
        <f>VLOOKUP(A21,Dataset!$A$1:$T$40,20,FALSE)</f>
        <v>151.5</v>
      </c>
      <c r="F21" s="8">
        <f>VLOOKUP(A21,Dataset!$A$1:$V$40,22,FALSE)</f>
        <v>75</v>
      </c>
    </row>
    <row r="22" spans="1:6" ht="14.4" x14ac:dyDescent="0.3">
      <c r="A22" s="7" t="s">
        <v>58</v>
      </c>
      <c r="B22" s="12">
        <f>VLOOKUP(A22,Dataset!$A$1:$G$40,7,FALSE)</f>
        <v>-1</v>
      </c>
      <c r="C22" s="12">
        <f>VLOOKUP(A22,Dataset!$A$1:$N$40,14,FALSE)</f>
        <v>-1</v>
      </c>
      <c r="D22" s="12">
        <f>VLOOKUP(A22,Dataset!$A$1:$R$40,18,FALSE)</f>
        <v>-1</v>
      </c>
      <c r="E22" s="12">
        <f>VLOOKUP(A22,Dataset!$A$1:$T$40,20,FALSE)</f>
        <v>-1</v>
      </c>
      <c r="F22" s="8">
        <f>VLOOKUP(A22,Dataset!$A$1:$V$40,22,FALSE)</f>
        <v>-1</v>
      </c>
    </row>
    <row r="23" spans="1:6" ht="14.4" x14ac:dyDescent="0.3">
      <c r="A23" s="7" t="s">
        <v>31</v>
      </c>
      <c r="B23" s="12">
        <f>VLOOKUP(A23,Dataset!$A$1:$G$40,7,FALSE)</f>
        <v>45</v>
      </c>
      <c r="C23" s="12">
        <f>VLOOKUP(A23,Dataset!$A$1:$N$40,14,FALSE)</f>
        <v>133.4</v>
      </c>
      <c r="D23" s="12">
        <f>VLOOKUP(A23,Dataset!$A$1:$R$40,18,FALSE)</f>
        <v>79.400000000000006</v>
      </c>
      <c r="E23" s="12">
        <f>VLOOKUP(A23,Dataset!$A$1:$T$40,20,FALSE)</f>
        <v>160.9</v>
      </c>
      <c r="F23" s="8">
        <f>VLOOKUP(A23,Dataset!$A$1:$V$40,22,FALSE)</f>
        <v>79.400000000000006</v>
      </c>
    </row>
    <row r="24" spans="1:6" ht="14.4" x14ac:dyDescent="0.3">
      <c r="A24" s="7" t="s">
        <v>32</v>
      </c>
      <c r="B24" s="12">
        <f>VLOOKUP(A24,Dataset!$A$1:$G$40,7,FALSE)</f>
        <v>-1</v>
      </c>
      <c r="C24" s="12">
        <f>VLOOKUP(A24,Dataset!$A$1:$N$40,14,FALSE)</f>
        <v>-1</v>
      </c>
      <c r="D24" s="12">
        <f>VLOOKUP(A24,Dataset!$A$1:$R$40,18,FALSE)</f>
        <v>-1</v>
      </c>
      <c r="E24" s="12">
        <f>VLOOKUP(A24,Dataset!$A$1:$T$40,20,FALSE)</f>
        <v>-1</v>
      </c>
      <c r="F24" s="8">
        <f>VLOOKUP(A24,Dataset!$A$1:$V$40,22,FALSE)</f>
        <v>-1</v>
      </c>
    </row>
    <row r="25" spans="1:6" ht="14.4" x14ac:dyDescent="0.3">
      <c r="A25" s="7" t="s">
        <v>34</v>
      </c>
      <c r="B25" s="12">
        <f>VLOOKUP(A25,Dataset!$A$1:$G$40,7,FALSE)</f>
        <v>43.3</v>
      </c>
      <c r="C25" s="12">
        <f>VLOOKUP(A25,Dataset!$A$1:$N$40,14,FALSE)</f>
        <v>128.6</v>
      </c>
      <c r="D25" s="12">
        <f>VLOOKUP(A25,Dataset!$A$1:$R$40,18,FALSE)</f>
        <v>79.400000000000006</v>
      </c>
      <c r="E25" s="12">
        <f>VLOOKUP(A25,Dataset!$A$1:$T$40,20,FALSE)</f>
        <v>160.9</v>
      </c>
      <c r="F25" s="8">
        <f>VLOOKUP(A25,Dataset!$A$1:$V$40,22,FALSE)</f>
        <v>79.400000000000006</v>
      </c>
    </row>
    <row r="26" spans="1:6" ht="14.4" x14ac:dyDescent="0.3">
      <c r="A26" s="7" t="s">
        <v>37</v>
      </c>
      <c r="B26" s="12">
        <f>VLOOKUP(A26,Dataset!$A$1:$G$40,7,FALSE)</f>
        <v>49.1</v>
      </c>
      <c r="C26" s="12">
        <f>VLOOKUP(A26,Dataset!$A$1:$N$40,14,FALSE)</f>
        <v>146.80000000000001</v>
      </c>
      <c r="D26" s="12">
        <f>VLOOKUP(A26,Dataset!$A$1:$R$40,18,FALSE)</f>
        <v>90.9</v>
      </c>
      <c r="E26" s="12">
        <f>VLOOKUP(A26,Dataset!$A$1:$T$40,20,FALSE)</f>
        <v>183.5</v>
      </c>
      <c r="F26" s="8">
        <f>VLOOKUP(A26,Dataset!$A$1:$V$40,22,FALSE)</f>
        <v>90.9</v>
      </c>
    </row>
    <row r="27" spans="1:6" ht="14.4" x14ac:dyDescent="0.3">
      <c r="A27" s="7" t="s">
        <v>39</v>
      </c>
      <c r="B27" s="12">
        <f>VLOOKUP(A27,Dataset!$A$1:$G$40,7,FALSE)</f>
        <v>51.8</v>
      </c>
      <c r="C27" s="12">
        <f>VLOOKUP(A27,Dataset!$A$1:$N$40,14,FALSE)</f>
        <v>156.4</v>
      </c>
      <c r="D27" s="12">
        <f>VLOOKUP(A27,Dataset!$A$1:$R$40,18,FALSE)</f>
        <v>93.1</v>
      </c>
      <c r="E27" s="12">
        <f>VLOOKUP(A27,Dataset!$A$1:$T$40,20,FALSE)</f>
        <v>188.1</v>
      </c>
      <c r="F27" s="8">
        <f>VLOOKUP(A27,Dataset!$A$1:$V$40,22,FALSE)</f>
        <v>93.1</v>
      </c>
    </row>
    <row r="28" spans="1:6" ht="14.4" x14ac:dyDescent="0.3">
      <c r="A28" s="19" t="s">
        <v>82</v>
      </c>
      <c r="B28" s="32">
        <f>MIN(B6:B27)</f>
        <v>-1</v>
      </c>
      <c r="C28" s="32">
        <f>MIN(C5:C27)</f>
        <v>-1</v>
      </c>
      <c r="D28" s="32">
        <f>MIN(D6:D27)</f>
        <v>-1</v>
      </c>
      <c r="E28" s="32">
        <f>MIN(E5:E27)</f>
        <v>-1</v>
      </c>
      <c r="F28" s="32">
        <f>MIN(F5:F27)</f>
        <v>-1</v>
      </c>
    </row>
    <row r="29" spans="1:6" ht="14.4" x14ac:dyDescent="0.3">
      <c r="A29" s="19" t="s">
        <v>83</v>
      </c>
      <c r="B29" s="32">
        <f>MAX(B6:B27)</f>
        <v>51.8</v>
      </c>
      <c r="C29" s="32">
        <f>MAX(C5:C27)</f>
        <v>156.4</v>
      </c>
      <c r="D29" s="32">
        <f>MAX(D6:D27)</f>
        <v>93.1</v>
      </c>
      <c r="E29" s="32">
        <f>MAX(E5:E27)</f>
        <v>188.1</v>
      </c>
      <c r="F29" s="32">
        <f>MAX(F5:F27)</f>
        <v>93.1</v>
      </c>
    </row>
    <row r="30" spans="1:6" ht="14.4" x14ac:dyDescent="0.3">
      <c r="A30" s="19" t="s">
        <v>84</v>
      </c>
      <c r="B30" s="32">
        <f>AVERAGE(B6:B27)</f>
        <v>20.827272727272728</v>
      </c>
      <c r="C30" s="32">
        <f>AVERAGE(C6:C27)</f>
        <v>62.377272727272725</v>
      </c>
      <c r="D30" s="32">
        <f>AVERAGE(D6:D27)</f>
        <v>37.800000000000004</v>
      </c>
      <c r="E30" s="32">
        <f>AVERAGE(E5:E27)</f>
        <v>76.418181818181822</v>
      </c>
      <c r="F30" s="32">
        <f>AVERAGE(F5:F27)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8" sqref="I1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 t="s">
        <v>181</v>
      </c>
    </row>
    <row r="7" spans="1:10" ht="18" x14ac:dyDescent="0.35">
      <c r="A7" s="44" t="s">
        <v>178</v>
      </c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F15" sqref="F1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167</v>
      </c>
    </row>
    <row r="2" spans="1:4" ht="18" x14ac:dyDescent="0.35">
      <c r="B2" s="41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 t="s">
        <v>179</v>
      </c>
    </row>
    <row r="8" spans="1:4" x14ac:dyDescent="0.3">
      <c r="A8" s="2" t="s">
        <v>94</v>
      </c>
    </row>
    <row r="10" spans="1:4" ht="23.4" x14ac:dyDescent="0.45">
      <c r="A10" s="18" t="s">
        <v>162</v>
      </c>
    </row>
    <row r="11" spans="1:4" ht="14.4" x14ac:dyDescent="0.3">
      <c r="A11" s="33" t="s">
        <v>86</v>
      </c>
      <c r="B11" s="17" t="s">
        <v>87</v>
      </c>
      <c r="C11" s="17" t="s">
        <v>88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>
        <f>IFERROR(VLOOKUP(A12,$A$11:$C$21,3,FALSE),20)</f>
        <v>200</v>
      </c>
    </row>
    <row r="13" spans="1:4" ht="14.4" x14ac:dyDescent="0.3">
      <c r="A13" s="33">
        <v>44928</v>
      </c>
      <c r="B13" s="17" t="s">
        <v>60</v>
      </c>
      <c r="C13" s="17">
        <v>20</v>
      </c>
      <c r="D13" s="2">
        <f t="shared" ref="D13:D21" si="0">IFERROR(VLOOKUP(A13,$A$11:$C$21,3,FALSE),20)</f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3">
        <v>44930</v>
      </c>
      <c r="B15" s="17" t="s">
        <v>62</v>
      </c>
      <c r="C15" s="17">
        <v>20</v>
      </c>
      <c r="D15" s="2">
        <f t="shared" si="0"/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3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4.4" x14ac:dyDescent="0.3">
      <c r="A18" s="33">
        <v>44933</v>
      </c>
      <c r="B18" s="17" t="s">
        <v>155</v>
      </c>
      <c r="C18" s="17">
        <v>80</v>
      </c>
      <c r="D18" s="2">
        <f t="shared" si="0"/>
        <v>80</v>
      </c>
    </row>
    <row r="19" spans="1:4" ht="14.4" x14ac:dyDescent="0.3">
      <c r="A19" s="33">
        <v>44934</v>
      </c>
      <c r="B19" s="17" t="s">
        <v>156</v>
      </c>
      <c r="C19" s="17">
        <v>20</v>
      </c>
      <c r="D19" s="2">
        <f t="shared" si="0"/>
        <v>20</v>
      </c>
    </row>
    <row r="20" spans="1:4" ht="14.4" x14ac:dyDescent="0.3">
      <c r="A20" s="33">
        <v>44935</v>
      </c>
      <c r="B20" s="17" t="s">
        <v>157</v>
      </c>
      <c r="C20" s="17">
        <v>30</v>
      </c>
      <c r="D20" s="2">
        <f t="shared" si="0"/>
        <v>30</v>
      </c>
    </row>
    <row r="21" spans="1:4" ht="14.4" x14ac:dyDescent="0.3">
      <c r="A21" s="33">
        <v>44936</v>
      </c>
      <c r="B21" s="17" t="s">
        <v>158</v>
      </c>
      <c r="C21" s="17">
        <v>20</v>
      </c>
      <c r="D21" s="2">
        <f t="shared" si="0"/>
        <v>20</v>
      </c>
    </row>
    <row r="22" spans="1:4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4" zoomScale="70" zoomScaleNormal="70" workbookViewId="0">
      <selection activeCell="D22" sqref="D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  <c r="C4" s="2" t="s">
        <v>182</v>
      </c>
    </row>
    <row r="5" spans="1:14" ht="18" x14ac:dyDescent="0.35">
      <c r="A5" s="44" t="s">
        <v>153</v>
      </c>
      <c r="B5" s="1" t="s">
        <v>183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  <c r="E21" s="2" t="s">
        <v>180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 t="e">
        <f t="array" ref="C23">INDEX(A9:J18, MATCH(A23:A35, B10:B18, 0), MATCH(B23:B35, B9:J9, 0))</f>
        <v>#N/A</v>
      </c>
    </row>
    <row r="24" spans="1:14" ht="14.4" x14ac:dyDescent="0.3">
      <c r="A24" s="7">
        <v>10100</v>
      </c>
      <c r="B24" s="12">
        <v>10104</v>
      </c>
      <c r="C24" s="45" t="e">
        <f t="array" ref="C24">INDEX(A10:J19, MATCH(A24:A36, B11:B19, 0), MATCH(B24:B36, B10:J10, 0))</f>
        <v>#N/A</v>
      </c>
    </row>
    <row r="25" spans="1:14" ht="14.4" x14ac:dyDescent="0.3">
      <c r="A25" s="7">
        <v>10108</v>
      </c>
      <c r="B25" s="12">
        <v>10102</v>
      </c>
      <c r="C25" s="45" t="e">
        <f t="array" ref="C25">INDEX(A11:J20, MATCH(A25:A37, B12:B20, 0), MATCH(B25:B37, B11:J11, 0))</f>
        <v>#N/A</v>
      </c>
    </row>
    <row r="26" spans="1:14" ht="14.4" x14ac:dyDescent="0.3">
      <c r="A26" s="7">
        <v>10100</v>
      </c>
      <c r="B26" s="12">
        <v>10106</v>
      </c>
      <c r="C26" s="45" t="e">
        <f t="array" ref="C26">INDEX(A12:J21, MATCH(A26:A38, B13:B21, 0), MATCH(B26:B38, B12:J12, 0))</f>
        <v>#N/A</v>
      </c>
    </row>
    <row r="27" spans="1:14" ht="14.4" x14ac:dyDescent="0.3">
      <c r="A27" s="7">
        <v>10108</v>
      </c>
      <c r="B27" s="12">
        <v>10110</v>
      </c>
      <c r="C27" s="45" t="e">
        <f t="array" ref="C27">INDEX(A13:J22, MATCH(A27:A39, B14:B22, 0), MATCH(B27:B39, B13:J13, 0))</f>
        <v>#N/A</v>
      </c>
    </row>
    <row r="28" spans="1:14" ht="14.4" x14ac:dyDescent="0.3">
      <c r="A28" s="7">
        <v>10102</v>
      </c>
      <c r="B28" s="12">
        <v>10104</v>
      </c>
      <c r="C28" s="45" t="e">
        <f t="array" ref="C28">INDEX(A14:J23, MATCH(A28:A40, B15:B23, 0), MATCH(B28:B40, B14:J14, 0))</f>
        <v>#N/A</v>
      </c>
    </row>
    <row r="29" spans="1:14" ht="14.4" x14ac:dyDescent="0.3">
      <c r="A29" s="7">
        <v>10106</v>
      </c>
      <c r="B29" s="12">
        <v>10108</v>
      </c>
      <c r="C29" s="45" t="e">
        <f t="array" ref="C29">INDEX(A15:J24, MATCH(A29:A41, B16:B24, 0), MATCH(B29:B41, B15:J15, 0))</f>
        <v>#N/A</v>
      </c>
    </row>
    <row r="30" spans="1:14" ht="14.4" x14ac:dyDescent="0.3">
      <c r="A30" s="7">
        <v>10102</v>
      </c>
      <c r="B30" s="12">
        <v>10106</v>
      </c>
      <c r="C30" s="45" t="e">
        <f t="array" ref="C30">INDEX(A16:J25, MATCH(A30:A42, B17:B25, 0), MATCH(B30:B42, B16:J16, 0))</f>
        <v>#N/A</v>
      </c>
    </row>
    <row r="31" spans="1:14" ht="14.4" x14ac:dyDescent="0.3">
      <c r="A31" s="7">
        <v>10110</v>
      </c>
      <c r="B31" s="12">
        <v>10114</v>
      </c>
      <c r="C31" s="45" t="e">
        <f t="array" ref="C31">INDEX(A17:J26, MATCH(A31:A43, B18:B26, 0), MATCH(B31:B43, B17:J17, 0))</f>
        <v>#N/A</v>
      </c>
    </row>
    <row r="32" spans="1:14" ht="14.4" x14ac:dyDescent="0.3">
      <c r="A32" s="7">
        <v>10104</v>
      </c>
      <c r="B32" s="12">
        <v>10106</v>
      </c>
      <c r="C32" s="45" t="e">
        <f t="array" ref="C32">INDEX(A18:J27, MATCH(A32:A44, B19:B27, 0), MATCH(B32:B44, B18:J18, 0))</f>
        <v>#N/A</v>
      </c>
    </row>
    <row r="33" spans="1:3" ht="14.4" x14ac:dyDescent="0.3">
      <c r="A33" s="7">
        <v>10110</v>
      </c>
      <c r="B33" s="12">
        <v>10112</v>
      </c>
      <c r="C33" s="45" t="e">
        <f t="array" ref="C33">INDEX(A19:J28, MATCH(A33:A45, B20:B28, 0), MATCH(B33:B45, B19:J19, 0))</f>
        <v>#N/A</v>
      </c>
    </row>
    <row r="34" spans="1:3" ht="14.4" x14ac:dyDescent="0.3">
      <c r="A34" s="7">
        <v>10100</v>
      </c>
      <c r="B34" s="12">
        <v>10114</v>
      </c>
      <c r="C34" s="45" t="e">
        <f t="array" ref="C34">INDEX(A20:J29, MATCH(A34:A46, B21:B29, 0), MATCH(B34:B46, B20:J20, 0))</f>
        <v>#N/A</v>
      </c>
    </row>
    <row r="35" spans="1:3" ht="14.4" x14ac:dyDescent="0.3">
      <c r="A35" s="9">
        <v>10112</v>
      </c>
      <c r="B35" s="13">
        <v>10116</v>
      </c>
      <c r="C35" s="45" t="e">
        <f t="array" ref="C35">INDEX(A21:J30, MATCH(A35:A47, B22:B30, 0), MATCH(B35:B47, B21:J21, 0))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pane="bottomLeft" activeCell="H10" sqref="H1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47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47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47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47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47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47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47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47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47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47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47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47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47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47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47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47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47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47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47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47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47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47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47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47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47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47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47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47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47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47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47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47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47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47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47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47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47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47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47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SUMIF(H2:H40,"&gt;20")</f>
        <v>1473.0000000000002</v>
      </c>
    </row>
  </sheetData>
  <conditionalFormatting sqref="A1:XFD1048576">
    <cfRule type="cellIs" dxfId="3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sample data</vt:lpstr>
      <vt:lpstr>Task_1</vt:lpstr>
      <vt:lpstr>Task_2</vt:lpstr>
      <vt:lpstr>Task_3</vt:lpstr>
      <vt:lpstr>Task_4</vt:lpstr>
      <vt:lpstr>Task_5</vt:lpstr>
      <vt:lpstr>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Sachin Tambale</cp:lastModifiedBy>
  <dcterms:created xsi:type="dcterms:W3CDTF">2015-02-10T17:33:11Z</dcterms:created>
  <dcterms:modified xsi:type="dcterms:W3CDTF">2023-12-10T13:23:16Z</dcterms:modified>
</cp:coreProperties>
</file>